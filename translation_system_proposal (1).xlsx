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تكلفة المشرو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<sst xmlns="http://schemas.openxmlformats.org/spreadsheetml/2006/main" count="50" uniqueCount="42">
  <si>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تفاصيل تكاليف نظام إدارة خدمات الترجمة والتوسعات المستقبلية</t>
  </si>
  <si>
    <t>عرض الأسعار التفصيلي والجدول الزمني - خطة التطوير الشاملة</t>
  </si>
  <si>
    <t>أولاً: النظام الأساسي (المدة الإجمالية: 8 أسابيع)</t>
  </si>
  <si>
    <t>م</t>
  </si>
  <si>
    <t>البند الرئيسي في النظام الأساسي</t>
  </si>
  <si>
    <t>التكلفة (جنيه مصري)</t>
  </si>
  <si>
    <t>1</t>
  </si>
  <si>
    <t>البنية الأساسية وقاعدة البيانات</t>
  </si>
  <si>
    <t>2</t>
  </si>
  <si>
    <t>المستخدمون والأدوار والصلاحيات</t>
  </si>
  <si>
    <t>3</t>
  </si>
  <si>
    <t>وحدة إدارة المشاريع</t>
  </si>
  <si>
    <t>4</t>
  </si>
  <si>
    <t>بورتال المترجم</t>
  </si>
  <si>
    <t>5</t>
  </si>
  <si>
    <t>تتبع وقت العمل وحالات المشاريع</t>
  </si>
  <si>
    <t>6</t>
  </si>
  <si>
    <t>لوحة الإحصائيات</t>
  </si>
  <si>
    <t>7</t>
  </si>
  <si>
    <t>إدارة المشاريع الشاملة والتقارير</t>
  </si>
  <si>
    <t>8</t>
  </si>
  <si>
    <t>سجل النشاطات</t>
  </si>
  <si>
    <t>9</t>
  </si>
  <si>
    <t>الـ Letterhead والأختام</t>
  </si>
  <si>
    <t>10</t>
  </si>
  <si>
    <t>نظام الإشعارات</t>
  </si>
  <si>
    <t>11</t>
  </si>
  <si>
    <t>الاختبار وضمان الجودة</t>
  </si>
  <si>
    <t>12</t>
  </si>
  <si>
    <t>النشر والتدريب والتوثيق</t>
  </si>
  <si>
    <t/>
  </si>
  <si>
    <t>إجمالي النظام الأساسي</t>
  </si>
  <si>
    <t>ثانياً: التوسعات المستقبلية ومرحلة الذكاء الاصطناعي</t>
  </si>
  <si>
    <t>الترجمة الآلية داخل المنصة (AI Translation)</t>
  </si>
  <si>
    <t>المساعد الذكي للمترجم (AI Assistant)</t>
  </si>
  <si>
    <t>استخراج النصوص من الصور والمستندات (OCR)</t>
  </si>
  <si>
    <t>ذاكرة الترجمة (Translation Memory) - المرحلة الثانية</t>
  </si>
  <si>
    <t>إجمالي التوسعات المستقبلية</t>
  </si>
  <si>
    <t>ثالثاً: الملخص المالي الإجمالي</t>
  </si>
  <si>
    <t>إجمالي تكلفة النظام الأساسي</t>
  </si>
  <si>
    <t>إجمالي تكلفة التوسعات المستقبلية والذكاء الاصطناعي</t>
  </si>
  <si>
    <t>الإجمالي الكلي الشامل (النظام الأساسي + التوسعات)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</si>
</sst>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\ &quot;جنيه&quot;"/>
  </numFmts>
  <fonts count="30">
    <font>
      <sz val="11"/>
      <color theme="1"/>
      <name val="Calibri"/>
      <charset val="134"/>
      <scheme val="minor"/>
    </font>
    <font>
      <b/>
      <sz val="16"/>
      <color rgb="FF2C3E50"/>
      <name val="Cairo"/>
      <charset val="134"/>
    </font>
    <font>
      <b/>
      <sz val="11"/>
      <color rgb="FF7F8C8D"/>
      <name val="Cairo"/>
      <charset val="134"/>
    </font>
    <font>
      <b/>
      <sz val="13"/>
      <color rgb="FF16A085"/>
      <name val="Cairo"/>
      <charset val="134"/>
    </font>
    <font>
      <b/>
      <sz val="11"/>
      <color rgb="FFFFFFFF"/>
      <name val="Cairo"/>
      <charset val="134"/>
    </font>
    <font>
      <sz val="11"/>
      <color rgb="FF333333"/>
      <name val="Cairo"/>
      <charset val="134"/>
    </font>
    <font>
      <b/>
      <sz val="11"/>
      <color rgb="FF000000"/>
      <name val="Cairo"/>
      <charset val="134"/>
    </font>
    <font>
      <b/>
      <sz val="13"/>
      <color rgb="FF2C3E50"/>
      <name val="Cairo"/>
      <charset val="134"/>
    </font>
    <font>
      <b/>
      <sz val="11"/>
      <color rgb="FF117A65"/>
      <name val="Cairo"/>
      <charset val="134"/>
    </font>
    <font>
      <b/>
      <sz val="12"/>
      <color rgb="FF117A65"/>
      <name val="Cair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FFEAECEE"/>
        <bgColor rgb="FFEAECEE"/>
      </patternFill>
    </fill>
    <fill>
      <patternFill patternType="solid">
        <fgColor rgb="FFD5D8DC"/>
        <bgColor rgb="FFD5D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2C3E50"/>
      </top>
      <bottom style="double">
        <color rgb="FF2C3E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178" fontId="5" fillId="3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178" fontId="5" fillId="4" borderId="1" xfId="0" applyNumberFormat="1" applyFont="1" applyFill="1" applyBorder="1" applyAlignment="1">
      <alignment horizontal="left" vertical="center"/>
    </xf>
    <xf numFmtId="0" fontId="0" fillId="5" borderId="2" xfId="0" applyFill="1" applyBorder="1"/>
    <xf numFmtId="0" fontId="6" fillId="5" borderId="2" xfId="0" applyFont="1" applyFill="1" applyBorder="1" applyAlignment="1">
      <alignment horizontal="right" vertical="center"/>
    </xf>
    <xf numFmtId="178" fontId="6" fillId="5" borderId="2" xfId="0" applyNumberFormat="1" applyFont="1" applyFill="1" applyBorder="1" applyAlignment="1">
      <alignment horizontal="left" vertical="center"/>
    </xf>
    <xf numFmtId="0" fontId="7" fillId="0" borderId="0" xfId="0" applyFont="1"/>
    <xf numFmtId="0" fontId="0" fillId="4" borderId="1" xfId="0" applyFill="1" applyBorder="1"/>
    <xf numFmtId="178" fontId="6" fillId="4" borderId="1" xfId="0" applyNumberFormat="1" applyFont="1" applyFill="1" applyBorder="1" applyAlignment="1">
      <alignment horizontal="left" vertical="center"/>
    </xf>
    <xf numFmtId="0" fontId="0" fillId="6" borderId="2" xfId="0" applyFill="1" applyBorder="1"/>
    <xf numFmtId="0" fontId="8" fillId="6" borderId="2" xfId="0" applyFont="1" applyFill="1" applyBorder="1" applyAlignment="1">
      <alignment horizontal="right" vertical="center"/>
    </xf>
    <xf numFmtId="178" fontId="9" fillId="6" borderId="2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C3E50"/>
  </sheetPr>
  <dimension ref="A1:C35"/>
  <sheetViews>
    <sheetView tabSelected="1" workbookViewId="0">
      <selection activeCell="C13" sqref="C13"/>
    </sheetView>
  </sheetViews>
  <sheetFormatPr defaultColWidth="9" defaultRowHeight="14.4" outlineLevelCol="2"/>
  <cols>
    <col min="1" max="1" width="52.6666666666667" customWidth="1"/>
    <col min="2" max="2" width="87.7777777777778" customWidth="1"/>
    <col min="3" max="3" width="78.6666666666667" customWidth="1"/>
  </cols>
  <sheetData>
    <row r="1" ht="21" spans="1:3">
      <c r="A1" s="1" t="s">
        <v>0</v>
      </c>
    </row>
    <row r="2" spans="1:3">
      <c r="A2" s="2" t="s">
        <v>1</v>
      </c>
    </row>
    <row r="4" ht="16.8" spans="1:3">
      <c r="A4" s="3" t="s">
        <v>2</v>
      </c>
    </row>
    <row r="5" spans="1:3">
      <c r="A5" s="4" t="s">
        <v>3</v>
      </c>
      <c r="B5" s="5" t="s">
        <v>4</v>
      </c>
      <c r="C5" s="6" t="s">
        <v>5</v>
      </c>
    </row>
    <row r="6" spans="1:3">
      <c r="A6" s="7" t="s">
        <v>6</v>
      </c>
      <c r="B6" s="8" t="s">
        <v>7</v>
      </c>
      <c r="C6" s="9">
        <v>6000</v>
      </c>
    </row>
    <row r="7" spans="1:3">
      <c r="A7" s="10" t="s">
        <v>8</v>
      </c>
      <c r="B7" s="11" t="s">
        <v>9</v>
      </c>
      <c r="C7" s="12">
        <v>8000</v>
      </c>
    </row>
    <row r="8" spans="1:3">
      <c r="A8" s="7" t="s">
        <v>10</v>
      </c>
      <c r="B8" s="8" t="s">
        <v>11</v>
      </c>
      <c r="C8" s="9">
        <v>12000</v>
      </c>
    </row>
    <row r="9" spans="1:3">
      <c r="A9" s="10" t="s">
        <v>12</v>
      </c>
      <c r="B9" s="11" t="s">
        <v>13</v>
      </c>
      <c r="C9" s="12">
        <v>14000</v>
      </c>
    </row>
    <row r="10" spans="1:3">
      <c r="A10" s="7" t="s">
        <v>14</v>
      </c>
      <c r="B10" s="8" t="s">
        <v>15</v>
      </c>
      <c r="C10" s="9">
        <v>7000</v>
      </c>
    </row>
    <row r="11" spans="1:3">
      <c r="A11" s="10" t="s">
        <v>16</v>
      </c>
      <c r="B11" s="11" t="s">
        <v>17</v>
      </c>
      <c r="C11" s="12">
        <v>9000</v>
      </c>
    </row>
    <row r="12" spans="1:3">
      <c r="A12" s="7" t="s">
        <v>18</v>
      </c>
      <c r="B12" s="8" t="s">
        <v>19</v>
      </c>
      <c r="C12" s="9">
        <v>5000</v>
      </c>
    </row>
    <row r="13" spans="1:3">
      <c r="A13" s="10" t="s">
        <v>20</v>
      </c>
      <c r="B13" s="11" t="s">
        <v>21</v>
      </c>
      <c r="C13" s="12">
        <v>3000</v>
      </c>
    </row>
    <row r="14" spans="1:3">
      <c r="A14" s="7" t="s">
        <v>22</v>
      </c>
      <c r="B14" s="8" t="s">
        <v>23</v>
      </c>
      <c r="C14" s="9">
        <v>11000</v>
      </c>
    </row>
    <row r="15" spans="1:3">
      <c r="A15" s="10" t="s">
        <v>24</v>
      </c>
      <c r="B15" s="11" t="s">
        <v>25</v>
      </c>
      <c r="C15" s="12">
        <v>5000</v>
      </c>
    </row>
    <row r="16" spans="1:3">
      <c r="A16" s="7" t="s">
        <v>26</v>
      </c>
      <c r="B16" s="8" t="s">
        <v>27</v>
      </c>
      <c r="C16" s="9">
        <v>0</v>
      </c>
    </row>
    <row r="17" spans="1:3">
      <c r="A17" s="10" t="s">
        <v>28</v>
      </c>
      <c r="B17" s="11" t="s">
        <v>29</v>
      </c>
      <c r="C17" s="12">
        <v>5000</v>
      </c>
    </row>
    <row r="18" ht="15.15" spans="1:3">
      <c r="A18" s="13" t="s">
        <v>30</v>
      </c>
      <c r="B18" s="14" t="s">
        <v>31</v>
      </c>
      <c r="C18" s="15">
        <f>SUM(C6:C17)</f>
        <v>85000</v>
      </c>
    </row>
    <row r="19" ht="15.15"/>
    <row r="21" ht="16.8" spans="1:3">
      <c r="A21" s="3" t="s">
        <v>32</v>
      </c>
    </row>
    <row r="22" spans="1:3">
      <c r="A22" s="4" t="s">
        <v>3</v>
      </c>
      <c r="B22" s="5" t="s">
        <v>4</v>
      </c>
      <c r="C22" s="6" t="s">
        <v>5</v>
      </c>
    </row>
    <row r="23" spans="1:3">
      <c r="A23" s="10" t="s">
        <v>6</v>
      </c>
      <c r="B23" s="11" t="s">
        <v>33</v>
      </c>
      <c r="C23" s="12">
        <v>20000</v>
      </c>
    </row>
    <row r="24" spans="1:3">
      <c r="A24" s="7" t="s">
        <v>8</v>
      </c>
      <c r="B24" s="8" t="s">
        <v>34</v>
      </c>
      <c r="C24" s="9">
        <v>30000</v>
      </c>
    </row>
    <row r="25" spans="1:3">
      <c r="A25" s="10" t="s">
        <v>10</v>
      </c>
      <c r="B25" s="11" t="s">
        <v>35</v>
      </c>
      <c r="C25" s="12">
        <v>30000</v>
      </c>
    </row>
    <row r="26" spans="1:3">
      <c r="A26" s="7" t="s">
        <v>12</v>
      </c>
      <c r="B26" s="8" t="s">
        <v>36</v>
      </c>
      <c r="C26" s="9">
        <v>45000</v>
      </c>
    </row>
    <row r="27" ht="15.15" spans="1:3">
      <c r="A27" s="13" t="s">
        <v>30</v>
      </c>
      <c r="B27" s="14" t="s">
        <v>37</v>
      </c>
      <c r="C27" s="15">
        <f>SUM(C23:C26)</f>
        <v>125000</v>
      </c>
    </row>
    <row r="28" ht="15.15"/>
    <row r="30" ht="16.8" spans="1:3">
      <c r="A30" s="16" t="s">
        <v>38</v>
      </c>
    </row>
    <row r="32" spans="1:3">
      <c r="A32" s="17"/>
      <c r="B32" s="11" t="s">
        <v>39</v>
      </c>
      <c r="C32" s="18">
        <f>C17</f>
        <v>5000</v>
      </c>
    </row>
    <row r="33" spans="1:3">
      <c r="A33" s="17"/>
      <c r="B33" s="11" t="s">
        <v>40</v>
      </c>
      <c r="C33" s="18">
        <f>C26</f>
        <v>45000</v>
      </c>
    </row>
    <row r="34" ht="16.35" spans="1:3">
      <c r="A34" s="19"/>
      <c r="B34" s="20" t="s">
        <v>41</v>
      </c>
      <c r="C34" s="21">
        <f>C32+C33</f>
        <v>50000</v>
      </c>
    </row>
    <row r="35" ht="15.15"/>
  </sheetData>
  <mergeCells count="2">
    <mergeCell ref="A1:C1"/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تكلفة المشروع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شامبليون للترجمة المعتمدة</cp:lastModifiedBy>
  <dcterms:created xsi:type="dcterms:W3CDTF">2026-07-27T08:00:00Z</dcterms:created>
  <dcterms:modified xsi:type="dcterms:W3CDTF">2026-07-27T08:06:47Z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04C901524E5A4BFD96B82E2E4295695C_12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